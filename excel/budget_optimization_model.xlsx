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Jishnu\Courses\Analytics\Projects\Enterprise E-Commerce Multi-Touch Attribution and Customer Lifetime Value Cohort Engine\excel\"/>
    </mc:Choice>
  </mc:AlternateContent>
  <xr:revisionPtr revIDLastSave="0" documentId="13_ncr:1_{4477B721-B75A-4A12-998E-17A9D8D3442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ttribution Comparison" sheetId="1" r:id="rId1"/>
    <sheet name="Budget Optimiz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7" i="2"/>
  <c r="D8" i="2"/>
  <c r="D9" i="2"/>
  <c r="D5" i="2"/>
  <c r="H3" i="1"/>
  <c r="H4" i="1"/>
  <c r="H5" i="1"/>
  <c r="H6" i="1"/>
  <c r="H2" i="1"/>
  <c r="G3" i="1"/>
  <c r="G4" i="1"/>
  <c r="G5" i="1"/>
  <c r="G6" i="1"/>
  <c r="G2" i="1"/>
</calcChain>
</file>

<file path=xl/sharedStrings.xml><?xml version="1.0" encoding="utf-8"?>
<sst xmlns="http://schemas.openxmlformats.org/spreadsheetml/2006/main" count="23" uniqueCount="18">
  <si>
    <t>First_Touch</t>
  </si>
  <si>
    <t>Last_Touch</t>
  </si>
  <si>
    <t>Linear</t>
  </si>
  <si>
    <t>Markov_Chain</t>
  </si>
  <si>
    <t>Variance_vs_LastTouch_%</t>
  </si>
  <si>
    <t>Adwords</t>
  </si>
  <si>
    <t>Email</t>
  </si>
  <si>
    <t>Facebook</t>
  </si>
  <si>
    <t>Organic</t>
  </si>
  <si>
    <t>YouTube</t>
  </si>
  <si>
    <t>Channel</t>
  </si>
  <si>
    <t>Markov_Attributed_Revenue</t>
  </si>
  <si>
    <t>Efficiency_Weight</t>
  </si>
  <si>
    <t>Optimized_Budget_Allocation</t>
  </si>
  <si>
    <t>Delta ($)</t>
  </si>
  <si>
    <t>Variance (%)</t>
  </si>
  <si>
    <t>Total Budget</t>
  </si>
  <si>
    <t>Budget_Allocation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</si>
</sst>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7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7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J15" sqref="J15"/>
    </sheetView>
  </sheetViews>
  <sheetFormatPr defaultRowHeight="15" x14ac:dyDescent="0.25"/>
  <cols>
    <col min="2" max="2" width="12" bestFit="1" customWidth="1"/>
    <col min="3" max="3" width="10.7109375" style="2" bestFit="1" customWidth="1"/>
    <col min="4" max="4" width="12" bestFit="1" customWidth="1"/>
    <col min="5" max="5" width="13.7109375" style="2" bestFit="1" customWidth="1"/>
    <col min="6" max="6" width="24.28515625" bestFit="1" customWidth="1"/>
    <col min="7" max="7" width="9.28515625" bestFit="1" customWidth="1"/>
    <col min="8" max="8" width="12.140625" style="3" bestFit="1" customWidth="1"/>
  </cols>
  <sheetData>
    <row r="1" spans="1:8" x14ac:dyDescent="0.25">
      <c r="B1" t="s">
        <v>0</v>
      </c>
      <c r="C1" s="2" t="s">
        <v>1</v>
      </c>
      <c r="D1" t="s">
        <v>2</v>
      </c>
      <c r="E1" s="2" t="s">
        <v>3</v>
      </c>
      <c r="F1" t="s">
        <v>4</v>
      </c>
      <c r="G1" s="2" t="s">
        <v>14</v>
      </c>
      <c r="H1" s="3" t="s">
        <v>15</v>
      </c>
    </row>
    <row r="2" spans="1:8" x14ac:dyDescent="0.25">
      <c r="A2" t="s">
        <v>5</v>
      </c>
      <c r="B2">
        <v>2427618.5023311558</v>
      </c>
      <c r="C2" s="2">
        <v>2416756.2620941591</v>
      </c>
      <c r="D2">
        <v>2418818.6001587491</v>
      </c>
      <c r="E2" s="2">
        <v>2415027.0508139809</v>
      </c>
      <c r="F2">
        <v>-7.1550917537684305E-2</v>
      </c>
      <c r="G2" s="2">
        <f>E2-C2</f>
        <v>-1729.2112801782787</v>
      </c>
      <c r="H2" s="3">
        <f>G2/C2</f>
        <v>-7.1550917537703562E-4</v>
      </c>
    </row>
    <row r="3" spans="1:8" x14ac:dyDescent="0.25">
      <c r="A3" t="s">
        <v>6</v>
      </c>
      <c r="B3">
        <v>3638476.9932660051</v>
      </c>
      <c r="C3" s="2">
        <v>3666868.8335724059</v>
      </c>
      <c r="D3">
        <v>3648507.9146530139</v>
      </c>
      <c r="E3" s="2">
        <v>3094373.656299958</v>
      </c>
      <c r="F3">
        <v>-15.61264400926774</v>
      </c>
      <c r="G3" s="2">
        <f t="shared" ref="G3:G6" si="0">E3-C3</f>
        <v>-572495.17727244785</v>
      </c>
      <c r="H3" s="3">
        <f t="shared" ref="H3:H6" si="1">G3/C3</f>
        <v>-0.15612644009267734</v>
      </c>
    </row>
    <row r="4" spans="1:8" x14ac:dyDescent="0.25">
      <c r="A4" t="s">
        <v>7</v>
      </c>
      <c r="B4">
        <v>812966.56067158654</v>
      </c>
      <c r="C4" s="2">
        <v>791268.45075346902</v>
      </c>
      <c r="D4">
        <v>801504.56572444167</v>
      </c>
      <c r="E4" s="2">
        <v>1009071.707631821</v>
      </c>
      <c r="F4">
        <v>27.525836101635679</v>
      </c>
      <c r="G4" s="2">
        <f t="shared" si="0"/>
        <v>217803.25687835203</v>
      </c>
      <c r="H4" s="3">
        <f t="shared" si="1"/>
        <v>0.2752583610163572</v>
      </c>
    </row>
    <row r="5" spans="1:8" x14ac:dyDescent="0.25">
      <c r="A5" t="s">
        <v>8</v>
      </c>
      <c r="B5">
        <v>391494.20031285292</v>
      </c>
      <c r="C5" s="2">
        <v>398881.56028485298</v>
      </c>
      <c r="D5">
        <v>394671.95878054039</v>
      </c>
      <c r="E5" s="2">
        <v>534245.66310969938</v>
      </c>
      <c r="F5">
        <v>33.935913890875007</v>
      </c>
      <c r="G5" s="2">
        <f t="shared" si="0"/>
        <v>135364.1028248464</v>
      </c>
      <c r="H5" s="3">
        <f t="shared" si="1"/>
        <v>0.33935913890875008</v>
      </c>
    </row>
    <row r="6" spans="1:8" x14ac:dyDescent="0.25">
      <c r="A6" t="s">
        <v>9</v>
      </c>
      <c r="B6">
        <v>796817.28081166744</v>
      </c>
      <c r="C6" s="2">
        <v>793598.4306883812</v>
      </c>
      <c r="D6">
        <v>803870.4980758779</v>
      </c>
      <c r="E6" s="2">
        <v>1014655.459537809</v>
      </c>
      <c r="F6">
        <v>27.855023435174811</v>
      </c>
      <c r="G6" s="2">
        <f t="shared" si="0"/>
        <v>221057.02884942782</v>
      </c>
      <c r="H6" s="3">
        <f t="shared" si="1"/>
        <v>0.27855023435174775</v>
      </c>
    </row>
  </sheetData>
  <conditionalFormatting sqref="H2:H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activeCell="B1" sqref="B1"/>
    </sheetView>
  </sheetViews>
  <sheetFormatPr defaultRowHeight="15" x14ac:dyDescent="0.25"/>
  <cols>
    <col min="1" max="1" width="12.140625" bestFit="1" customWidth="1"/>
    <col min="2" max="2" width="27.28515625" bestFit="1" customWidth="1"/>
    <col min="3" max="3" width="17.28515625" bestFit="1" customWidth="1"/>
    <col min="4" max="4" width="17.28515625" customWidth="1"/>
    <col min="5" max="5" width="28.140625" bestFit="1" customWidth="1"/>
  </cols>
  <sheetData>
    <row r="1" spans="1:5" x14ac:dyDescent="0.25">
      <c r="A1" t="s">
        <v>16</v>
      </c>
      <c r="B1" s="1">
        <v>100000</v>
      </c>
    </row>
    <row r="4" spans="1:5" x14ac:dyDescent="0.25">
      <c r="A4" t="s">
        <v>10</v>
      </c>
      <c r="B4" t="s">
        <v>11</v>
      </c>
      <c r="C4" t="s">
        <v>12</v>
      </c>
      <c r="D4" t="s">
        <v>17</v>
      </c>
      <c r="E4" t="s">
        <v>13</v>
      </c>
    </row>
    <row r="5" spans="1:5" x14ac:dyDescent="0.25">
      <c r="A5" t="s">
        <v>5</v>
      </c>
      <c r="B5">
        <v>2415027.0508139809</v>
      </c>
      <c r="C5">
        <v>0.29935728643529808</v>
      </c>
      <c r="D5" s="1">
        <f>$B$1*(C5/SUM($C$5:$C$9))</f>
        <v>29935.728643529812</v>
      </c>
      <c r="E5">
        <v>20000</v>
      </c>
    </row>
    <row r="6" spans="1:5" x14ac:dyDescent="0.25">
      <c r="A6" t="s">
        <v>6</v>
      </c>
      <c r="B6">
        <v>3094373.656299958</v>
      </c>
      <c r="C6">
        <v>0.38356642864708762</v>
      </c>
      <c r="D6" s="1">
        <f t="shared" ref="D6:D9" si="0">$B$1*(C6/SUM($C$5:$C$9))</f>
        <v>38356.642864708767</v>
      </c>
      <c r="E6">
        <v>20000</v>
      </c>
    </row>
    <row r="7" spans="1:5" x14ac:dyDescent="0.25">
      <c r="A7" t="s">
        <v>7</v>
      </c>
      <c r="B7">
        <v>1009071.707631821</v>
      </c>
      <c r="C7">
        <v>0.12508057336810419</v>
      </c>
      <c r="D7" s="1">
        <f t="shared" si="0"/>
        <v>12508.057336810421</v>
      </c>
      <c r="E7">
        <v>20000</v>
      </c>
    </row>
    <row r="8" spans="1:5" x14ac:dyDescent="0.25">
      <c r="A8" t="s">
        <v>8</v>
      </c>
      <c r="B8">
        <v>534245.66310969938</v>
      </c>
      <c r="C8">
        <v>6.6222998183163961E-2</v>
      </c>
      <c r="D8" s="1">
        <f t="shared" si="0"/>
        <v>6622.2998183163972</v>
      </c>
      <c r="E8">
        <v>20000</v>
      </c>
    </row>
    <row r="9" spans="1:5" x14ac:dyDescent="0.25">
      <c r="A9" t="s">
        <v>9</v>
      </c>
      <c r="B9">
        <v>1014655.459537809</v>
      </c>
      <c r="C9">
        <v>0.1257727133663461</v>
      </c>
      <c r="D9" s="1">
        <f t="shared" si="0"/>
        <v>12577.271336634612</v>
      </c>
      <c r="E9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Attribution Comparison</vt:lpstr>
      <vt:lpstr>Budget Optimization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Devdatta Mondal</cp:lastModifiedBy>
  <dcterms:created xsi:type="dcterms:W3CDTF">2026-07-28T06:03:57Z</dcterms:created>
  <dcterms:modified xsi:type="dcterms:W3CDTF">2026-07-28T08:02:34Z</dcterms:modified>
</cp:coreProperties>
</file>